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ission_Factors" sheetId="1" state="visible" r:id="rId1"/>
    <sheet xmlns:r="http://schemas.openxmlformats.org/officeDocument/2006/relationships" name="Carbon_Accounting" sheetId="2" state="visible" r:id="rId2"/>
  </sheets>
  <definedNames>
    <definedName name="_xlnm._FilterDatabase" localSheetId="0" hidden="1">'Emission_Factors'!$A$3:$E$13</definedName>
    <definedName name="_xlnm._FilterDatabase" localSheetId="1" hidden="1">'Carbon_Accounting'!$A$4:$J$9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11111"/>
      <sz val="14"/>
    </font>
    <font>
      <b val="1"/>
      <color rgb="00FFFFFF"/>
      <sz val="10"/>
    </font>
    <font>
      <b val="1"/>
      <color rgb="00111111"/>
      <sz val="13"/>
    </font>
    <font>
      <i val="1"/>
      <color rgb="00777777"/>
      <sz val="9"/>
    </font>
    <font>
      <b val="1"/>
      <color rgb="00FFFFFF"/>
      <sz val="9"/>
    </font>
    <font>
      <color rgb="002E7D32"/>
    </font>
    <font>
      <b val="1"/>
      <color rgb="00990000"/>
    </font>
  </fonts>
  <fills count="7">
    <fill>
      <patternFill/>
    </fill>
    <fill>
      <patternFill patternType="gray125"/>
    </fill>
    <fill>
      <patternFill patternType="solid">
        <fgColor rgb="00111111"/>
        <bgColor rgb="00111111"/>
      </patternFill>
    </fill>
    <fill>
      <patternFill patternType="solid">
        <fgColor rgb="00E8F5E9"/>
        <bgColor rgb="00E8F5E9"/>
      </patternFill>
    </fill>
    <fill>
      <patternFill patternType="solid">
        <fgColor rgb="00F5F5F5"/>
        <bgColor rgb="00F5F5F5"/>
      </patternFill>
    </fill>
    <fill>
      <patternFill patternType="solid">
        <fgColor rgb="00FFE5CC"/>
        <bgColor rgb="00FFE5CC"/>
      </patternFill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2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wrapText="1"/>
    </xf>
    <xf numFmtId="4" fontId="0" fillId="0" borderId="0" pivotButton="0" quotePrefix="0" xfId="0"/>
    <xf numFmtId="0" fontId="6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7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GHG Emission Factor Lookup — EPA / DEFRA / GHG Protocol 2024</t>
        </is>
      </c>
    </row>
    <row r="3">
      <c r="A3" s="2" t="inlineStr">
        <is>
          <t>Factor ID</t>
        </is>
      </c>
      <c r="B3" s="2" t="inlineStr">
        <is>
          <t>Category</t>
        </is>
      </c>
      <c r="C3" s="2" t="inlineStr">
        <is>
          <t>Region</t>
        </is>
      </c>
      <c r="D3" s="2" t="inlineStr">
        <is>
          <t>Source / Fuel</t>
        </is>
      </c>
      <c r="E3" s="2" t="inlineStr">
        <is>
          <t>Factor (kg CO2e / unit)</t>
        </is>
      </c>
    </row>
    <row r="4">
      <c r="A4" t="n">
        <v>1</v>
      </c>
      <c r="B4" t="inlineStr">
        <is>
          <t>Fuel</t>
        </is>
      </c>
      <c r="C4" t="inlineStr">
        <is>
          <t>Global</t>
        </is>
      </c>
      <c r="D4" t="inlineStr">
        <is>
          <t>Diesel</t>
        </is>
      </c>
      <c r="E4" s="3" t="n">
        <v>2.68</v>
      </c>
    </row>
    <row r="5">
      <c r="A5" t="n">
        <v>2</v>
      </c>
      <c r="B5" t="inlineStr">
        <is>
          <t>Fuel</t>
        </is>
      </c>
      <c r="C5" t="inlineStr">
        <is>
          <t>EU-West</t>
        </is>
      </c>
      <c r="D5" t="inlineStr">
        <is>
          <t>Natural Gas</t>
        </is>
      </c>
      <c r="E5" s="3" t="n">
        <v>2.75</v>
      </c>
    </row>
    <row r="6">
      <c r="A6" t="n">
        <v>3</v>
      </c>
      <c r="B6" t="inlineStr">
        <is>
          <t>Fuel</t>
        </is>
      </c>
      <c r="C6" t="inlineStr">
        <is>
          <t>APAC</t>
        </is>
      </c>
      <c r="D6" t="inlineStr">
        <is>
          <t>Jet Fuel</t>
        </is>
      </c>
      <c r="E6" s="3" t="n">
        <v>3.16</v>
      </c>
    </row>
    <row r="7">
      <c r="A7" t="n">
        <v>4</v>
      </c>
      <c r="B7" t="inlineStr">
        <is>
          <t>Electricity Grid</t>
        </is>
      </c>
      <c r="C7" t="inlineStr">
        <is>
          <t>North America</t>
        </is>
      </c>
      <c r="D7" t="inlineStr">
        <is>
          <t>Electricity</t>
        </is>
      </c>
      <c r="E7" s="3" t="n">
        <v>0.42</v>
      </c>
    </row>
    <row r="8">
      <c r="A8" t="n">
        <v>5</v>
      </c>
      <c r="B8" t="inlineStr">
        <is>
          <t>Electricity Grid</t>
        </is>
      </c>
      <c r="C8" t="inlineStr">
        <is>
          <t>EU-West</t>
        </is>
      </c>
      <c r="D8" t="inlineStr">
        <is>
          <t>Electricity</t>
        </is>
      </c>
      <c r="E8" s="3" t="n">
        <v>0.28</v>
      </c>
    </row>
    <row r="9">
      <c r="A9" t="n">
        <v>6</v>
      </c>
      <c r="B9" t="inlineStr">
        <is>
          <t>Transport</t>
        </is>
      </c>
      <c r="C9" t="inlineStr">
        <is>
          <t>Global</t>
        </is>
      </c>
      <c r="D9" t="inlineStr">
        <is>
          <t>Road</t>
        </is>
      </c>
      <c r="E9" s="3" t="n">
        <v>0.12</v>
      </c>
    </row>
    <row r="10">
      <c r="A10" t="n">
        <v>7</v>
      </c>
      <c r="B10" t="inlineStr">
        <is>
          <t>Transport</t>
        </is>
      </c>
      <c r="C10" t="inlineStr">
        <is>
          <t>EU-West</t>
        </is>
      </c>
      <c r="D10" t="inlineStr">
        <is>
          <t>Air</t>
        </is>
      </c>
      <c r="E10" s="3" t="n">
        <v>0.55</v>
      </c>
    </row>
    <row r="11">
      <c r="A11" t="n">
        <v>8</v>
      </c>
      <c r="B11" t="inlineStr">
        <is>
          <t>Transport</t>
        </is>
      </c>
      <c r="C11" t="inlineStr">
        <is>
          <t>APAC</t>
        </is>
      </c>
      <c r="D11" t="inlineStr">
        <is>
          <t>Sea</t>
        </is>
      </c>
      <c r="E11" s="3" t="n">
        <v>0.04</v>
      </c>
    </row>
    <row r="12">
      <c r="A12" t="n">
        <v>9</v>
      </c>
      <c r="B12" t="inlineStr">
        <is>
          <t>Transport</t>
        </is>
      </c>
      <c r="C12" t="inlineStr">
        <is>
          <t>LATAM</t>
        </is>
      </c>
      <c r="D12" t="inlineStr">
        <is>
          <t>Rail</t>
        </is>
      </c>
      <c r="E12" s="3" t="n">
        <v>0.03</v>
      </c>
    </row>
    <row r="13">
      <c r="A13" t="n">
        <v>10</v>
      </c>
      <c r="B13" t="inlineStr">
        <is>
          <t>Transport</t>
        </is>
      </c>
      <c r="C13" t="inlineStr">
        <is>
          <t>Africa</t>
        </is>
      </c>
      <c r="D13" t="inlineStr">
        <is>
          <t>Road</t>
        </is>
      </c>
      <c r="E13" s="3" t="n">
        <v>0.1</v>
      </c>
    </row>
  </sheetData>
  <autoFilter ref="A3:E13"/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6" customWidth="1" min="4" max="4"/>
    <col width="18" customWidth="1" min="5" max="5"/>
    <col width="12" customWidth="1" min="6" max="6"/>
    <col width="16" customWidth="1" min="7" max="7"/>
    <col width="16" customWidth="1" min="8" max="8"/>
    <col width="16" customWidth="1" min="9" max="9"/>
    <col width="12" customWidth="1" min="10" max="10"/>
  </cols>
  <sheetData>
    <row r="1">
      <c r="A1" s="4" t="inlineStr">
        <is>
          <t>ESG Carbon Accounting — Scope 1 / 2 / 3 Calculation Engine (XLOOKUP Dynamic)</t>
        </is>
      </c>
    </row>
    <row r="2">
      <c r="A2" s="5" t="inlineStr">
        <is>
          <t>Consulting Workpaper — Facility-level emissions with automated factor lookup. Red = Critical intensity (&gt;90 kg/$100k). Green = Net-zero aligned (&lt;15).</t>
        </is>
      </c>
    </row>
    <row r="4" ht="30" customHeight="1">
      <c r="A4" s="6" t="inlineStr">
        <is>
          <t>Facility ID</t>
        </is>
      </c>
      <c r="B4" s="6" t="inlineStr">
        <is>
          <t>Facility Name</t>
        </is>
      </c>
      <c r="C4" s="6" t="inlineStr">
        <is>
          <t>Region</t>
        </is>
      </c>
      <c r="D4" s="6" t="inlineStr">
        <is>
          <t>Energy Source</t>
        </is>
      </c>
      <c r="E4" s="6" t="inlineStr">
        <is>
          <t>Quantity (normalized)</t>
        </is>
      </c>
      <c r="F4" s="6" t="inlineStr">
        <is>
          <t>Unit Std</t>
        </is>
      </c>
      <c r="G4" s="6" t="inlineStr">
        <is>
          <t>Factor (XLOOKUP)</t>
        </is>
      </c>
      <c r="H4" s="6" t="inlineStr">
        <is>
          <t>MTCO2e (Calculated)</t>
        </is>
      </c>
      <c r="I4" s="6" t="inlineStr">
        <is>
          <t>Data Quality</t>
        </is>
      </c>
      <c r="J4" s="6" t="inlineStr">
        <is>
          <t>Risk Flag</t>
        </is>
      </c>
    </row>
    <row r="5">
      <c r="A5" t="n">
        <v>101</v>
      </c>
      <c r="B5" t="inlineStr">
        <is>
          <t>Plant_A1</t>
        </is>
      </c>
      <c r="C5" t="inlineStr">
        <is>
          <t>North America</t>
        </is>
      </c>
      <c r="D5" t="inlineStr">
        <is>
          <t>Electricity</t>
        </is>
      </c>
      <c r="E5" s="7" t="n">
        <v>45000</v>
      </c>
      <c r="F5" t="inlineStr">
        <is>
          <t>MWh</t>
        </is>
      </c>
      <c r="G5" s="3">
        <f>XLOOKUP(D5,Emission_Factors!D4:D13,Emission_Factors!E4:E13,"Not Found")</f>
        <v/>
      </c>
      <c r="H5" s="3">
        <f>E5*G5/1000</f>
        <v/>
      </c>
      <c r="I5" t="inlineStr">
        <is>
          <t>Clean</t>
        </is>
      </c>
      <c r="J5" s="8" t="inlineStr">
        <is>
          <t>Low</t>
        </is>
      </c>
    </row>
    <row r="6">
      <c r="A6" t="n">
        <v>102</v>
      </c>
      <c r="B6" t="inlineStr">
        <is>
          <t>Plant_B2</t>
        </is>
      </c>
      <c r="C6" t="inlineStr">
        <is>
          <t>EU-West</t>
        </is>
      </c>
      <c r="D6" t="inlineStr">
        <is>
          <t>Diesel</t>
        </is>
      </c>
      <c r="E6" s="7" t="n">
        <v>12000</v>
      </c>
      <c r="F6" t="inlineStr">
        <is>
          <t>L</t>
        </is>
      </c>
      <c r="G6" s="3">
        <f>XLOOKUP(D6,Emission_Factors!D4:D13,Emission_Factors!E4:E13,"Not Found")</f>
        <v/>
      </c>
      <c r="H6" s="3">
        <f>E6*G6/1000</f>
        <v/>
      </c>
      <c r="I6" t="inlineStr">
        <is>
          <t>Clean</t>
        </is>
      </c>
      <c r="J6" s="9" t="inlineStr">
        <is>
          <t>Medium</t>
        </is>
      </c>
    </row>
    <row r="7">
      <c r="A7" t="n">
        <v>103</v>
      </c>
      <c r="B7" t="inlineStr">
        <is>
          <t>Plant_C3</t>
        </is>
      </c>
      <c r="C7" t="inlineStr">
        <is>
          <t>APAC</t>
        </is>
      </c>
      <c r="D7" t="inlineStr">
        <is>
          <t>Natural Gas</t>
        </is>
      </c>
      <c r="E7" s="7" t="n">
        <v>8000</v>
      </c>
      <c r="F7" t="inlineStr">
        <is>
          <t>L</t>
        </is>
      </c>
      <c r="G7" s="3">
        <f>XLOOKUP(D7,Emission_Factors!D4:D13,Emission_Factors!E4:E13,"Not Found")</f>
        <v/>
      </c>
      <c r="H7" s="3">
        <f>E7*G7/1000</f>
        <v/>
      </c>
      <c r="I7" t="inlineStr">
        <is>
          <t>Dirty</t>
        </is>
      </c>
      <c r="J7" s="10" t="inlineStr">
        <is>
          <t>High</t>
        </is>
      </c>
    </row>
    <row r="8">
      <c r="A8" t="n">
        <v>104</v>
      </c>
      <c r="B8" t="inlineStr">
        <is>
          <t>Plant_D4</t>
        </is>
      </c>
      <c r="C8" t="inlineStr">
        <is>
          <t>LATAM</t>
        </is>
      </c>
      <c r="D8" t="inlineStr">
        <is>
          <t>Jet Fuel</t>
        </is>
      </c>
      <c r="E8" s="7" t="n">
        <v>5500</v>
      </c>
      <c r="F8" t="inlineStr">
        <is>
          <t>L</t>
        </is>
      </c>
      <c r="G8" s="3">
        <f>XLOOKUP(D8,Emission_Factors!D4:D13,Emission_Factors!E4:E13,"Not Found")</f>
        <v/>
      </c>
      <c r="H8" s="3">
        <f>E8*G8/1000</f>
        <v/>
      </c>
      <c r="I8" t="inlineStr">
        <is>
          <t>Estimated</t>
        </is>
      </c>
      <c r="J8" s="11" t="inlineStr">
        <is>
          <t>Critical</t>
        </is>
      </c>
    </row>
    <row r="9">
      <c r="A9" t="n">
        <v>105</v>
      </c>
      <c r="B9" t="inlineStr">
        <is>
          <t>Plant_E5</t>
        </is>
      </c>
      <c r="C9" t="inlineStr">
        <is>
          <t>Africa</t>
        </is>
      </c>
      <c r="D9" t="inlineStr">
        <is>
          <t>Electricity</t>
        </is>
      </c>
      <c r="E9" s="7" t="n">
        <v>62000</v>
      </c>
      <c r="F9" t="inlineStr">
        <is>
          <t>MWh</t>
        </is>
      </c>
      <c r="G9" s="3">
        <f>XLOOKUP(D9,Emission_Factors!D4:D13,Emission_Factors!E4:E13,"Not Found")</f>
        <v/>
      </c>
      <c r="H9" s="3">
        <f>E9*G9/1000</f>
        <v/>
      </c>
      <c r="I9" t="inlineStr">
        <is>
          <t>Clean</t>
        </is>
      </c>
      <c r="J9" s="9" t="inlineStr">
        <is>
          <t>Medium</t>
        </is>
      </c>
    </row>
  </sheetData>
  <autoFilter ref="A4:J9"/>
  <mergeCells count="2">
    <mergeCell ref="A2:H2"/>
    <mergeCell ref="A1:H1"/>
  </mergeCells>
  <pageMargins left="0.75" right="0.75" top="1" bottom="1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2026-09-10T18:52:35Z</dcterms:created>
  <dcterms:modified xmlns:dcterms="http://purl.org/dc/terms/" xmlns:xsi="http://www.w3.org/2001/XMLSchema-instance" xsi:type="dcterms:W3CDTF">2026-09-10T18:52:35Z</dcterms:modified>
</cp:coreProperties>
</file>